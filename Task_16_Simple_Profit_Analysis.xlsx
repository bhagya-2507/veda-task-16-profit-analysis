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9E4944AB-85EF-4A7E-8EE8-81B4399AE509}" xr6:coauthVersionLast="47" xr6:coauthVersionMax="47" xr10:uidLastSave="{00000000-0000-0000-0000-000000000000}"/>
  <bookViews>
    <workbookView xWindow="-120" yWindow="-120" windowWidth="20730" windowHeight="11040" xr2:uid="{7A487886-8F8B-4AC0-8D5D-4ED5E9B77CB1}"/>
  </bookViews>
  <sheets>
    <sheet name="Raw Data" sheetId="1" r:id="rId1"/>
    <sheet name="Profit 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2" l="1"/>
  <c r="D6" i="2"/>
  <c r="D4" i="2"/>
  <c r="B5" i="2"/>
  <c r="B6" i="2"/>
  <c r="B4" i="2"/>
  <c r="C5" i="2"/>
  <c r="C6" i="2"/>
  <c r="C4" i="2"/>
</calcChain>
</file>

<file path=xl/sharedStrings.xml><?xml version="1.0" encoding="utf-8"?>
<sst xmlns="http://schemas.openxmlformats.org/spreadsheetml/2006/main" count="103" uniqueCount="51">
  <si>
    <t>Order ID</t>
  </si>
  <si>
    <t>Category</t>
  </si>
  <si>
    <t>Sub-Category</t>
  </si>
  <si>
    <t>Sales</t>
  </si>
  <si>
    <t>Profit</t>
  </si>
  <si>
    <t>ORD-001</t>
  </si>
  <si>
    <t>Furniture</t>
  </si>
  <si>
    <t>Chairs</t>
  </si>
  <si>
    <t>ORD-002</t>
  </si>
  <si>
    <t>Technology</t>
  </si>
  <si>
    <t>Phones</t>
  </si>
  <si>
    <t>ORD-003</t>
  </si>
  <si>
    <t>Office Supplies</t>
  </si>
  <si>
    <t>Binders</t>
  </si>
  <si>
    <t>ORD-004</t>
  </si>
  <si>
    <t>Tables</t>
  </si>
  <si>
    <t>ORD-005</t>
  </si>
  <si>
    <t>Accessories</t>
  </si>
  <si>
    <t>ORD-006</t>
  </si>
  <si>
    <t>Paper</t>
  </si>
  <si>
    <t>ORD-007</t>
  </si>
  <si>
    <t>Bookcases</t>
  </si>
  <si>
    <t>ORD-008</t>
  </si>
  <si>
    <t>Machines</t>
  </si>
  <si>
    <t>ORD-009</t>
  </si>
  <si>
    <t>Storage</t>
  </si>
  <si>
    <t>ORD-010</t>
  </si>
  <si>
    <t>ORD-011</t>
  </si>
  <si>
    <t>ORD-012</t>
  </si>
  <si>
    <t>ORD-013</t>
  </si>
  <si>
    <t>ORD-014</t>
  </si>
  <si>
    <t>ORD-015</t>
  </si>
  <si>
    <t>ORD-016</t>
  </si>
  <si>
    <t>ORD-017</t>
  </si>
  <si>
    <t>ORD-018</t>
  </si>
  <si>
    <t>ORD-019</t>
  </si>
  <si>
    <t>ORD-020</t>
  </si>
  <si>
    <t>ORD-021</t>
  </si>
  <si>
    <t>ORD-022</t>
  </si>
  <si>
    <t>ORD-023</t>
  </si>
  <si>
    <t>ORD-024</t>
  </si>
  <si>
    <t>ORD-025</t>
  </si>
  <si>
    <t>ORD-026</t>
  </si>
  <si>
    <t>ORD-027</t>
  </si>
  <si>
    <t>ORD-028</t>
  </si>
  <si>
    <t>ORD-029</t>
  </si>
  <si>
    <t>ORD-030</t>
  </si>
  <si>
    <t>Total Sales</t>
  </si>
  <si>
    <t>Total Profit</t>
  </si>
  <si>
    <t>Average Profit</t>
  </si>
  <si>
    <t>Profit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</si>
</sst>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4" borderId="1" xfId="0" applyFont="1" applyFill="1" applyBorder="1"/>
    <xf numFmtId="2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sng" strike="noStrike" baseline="0">
                <a:solidFill>
                  <a:schemeClr val="accent1"/>
                </a:solidFill>
              </a:rPr>
              <a:t>Category-wise Total Profit Analysis</a:t>
            </a:r>
            <a:endParaRPr lang="en-US" sz="1600" b="1" u="sng">
              <a:solidFill>
                <a:schemeClr val="accent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'Profit Summary'!$C$3</c:f>
              <c:strCache>
                <c:ptCount val="1"/>
                <c:pt idx="0">
                  <c:v>Total Profit</c:v>
                </c:pt>
              </c:strCache>
            </c:strRef>
          </c:tx>
          <c:spPr>
            <a:ln w="22225">
              <a:solidFill>
                <a:schemeClr val="tx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22225">
                <a:solidFill>
                  <a:schemeClr val="tx1"/>
                </a:solidFill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22225">
                <a:solidFill>
                  <a:schemeClr val="tx1"/>
                </a:solidFill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 w="22225">
                <a:solidFill>
                  <a:schemeClr val="tx1"/>
                </a:solidFill>
              </a:ln>
              <a:effectLst/>
            </c:spPr>
          </c:dPt>
          <c:cat>
            <c:strRef>
              <c:f>'Profit Summary'!$A$4:$A$6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Summary'!$C$4:$C$6</c:f>
              <c:numCache>
                <c:formatCode>0.00</c:formatCode>
                <c:ptCount val="3"/>
                <c:pt idx="0">
                  <c:v>2980</c:v>
                </c:pt>
                <c:pt idx="1">
                  <c:v>1335</c:v>
                </c:pt>
                <c:pt idx="2">
                  <c:v>4135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D1-4C53-A9E7-BB615899A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6715920"/>
        <c:axId val="1749724224"/>
      </c:barChart>
      <c:catAx>
        <c:axId val="193671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724224"/>
        <c:crosses val="autoZero"/>
        <c:auto val="1"/>
        <c:lblAlgn val="ctr"/>
        <c:lblOffset val="100"/>
        <c:noMultiLvlLbl val="0"/>
      </c:catAx>
      <c:valAx>
        <c:axId val="1749724224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71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00">
        <a:alpha val="37000"/>
      </a:srgbClr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7</xdr:row>
      <xdr:rowOff>14287</xdr:rowOff>
    </xdr:from>
    <xdr:to>
      <xdr:col>4</xdr:col>
      <xdr:colOff>438150</xdr:colOff>
      <xdr:row>19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AFB7B5-D53E-15DA-5781-E5184677AC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892616-72F9-4436-B827-2EE7D9220E6E}" name="Table1" displayName="Table1" ref="A1:E31" totalsRowShown="0">
  <autoFilter ref="A1:E31" xr:uid="{79892616-72F9-4436-B827-2EE7D9220E6E}"/>
  <tableColumns count="5">
    <tableColumn id="1" xr3:uid="{C3182BD3-84F3-4855-89D7-09914B0B327D}" name="Order ID"/>
    <tableColumn id="2" xr3:uid="{F9B4E0FF-4F02-4E11-9EE4-F55FFCF8961D}" name="Category"/>
    <tableColumn id="3" xr3:uid="{512BC9DF-0D92-4EFB-8F98-53A48E3484A1}" name="Sub-Category"/>
    <tableColumn id="4" xr3:uid="{3F966579-5229-46C7-904C-78030F1C2E57}" name="Sales"/>
    <tableColumn id="5" xr3:uid="{BEEBF980-A1A0-4A8E-B638-F24106353840}" name="Profit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3170-AEFF-4FD7-9431-F46F39B6CB55}">
  <dimension ref="A1:E31"/>
  <sheetViews>
    <sheetView tabSelected="1" workbookViewId="0">
      <selection activeCell="L7" sqref="L7"/>
    </sheetView>
  </sheetViews>
  <sheetFormatPr defaultRowHeight="15" x14ac:dyDescent="0.25"/>
  <cols>
    <col min="1" max="1" width="10.5703125" customWidth="1"/>
    <col min="2" max="2" width="14.5703125" bestFit="1" customWidth="1"/>
    <col min="3" max="3" width="15" customWidth="1"/>
    <col min="4" max="4" width="7.7109375" customWidth="1"/>
    <col min="5" max="5" width="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1200</v>
      </c>
      <c r="E2">
        <v>180</v>
      </c>
    </row>
    <row r="3" spans="1:5" x14ac:dyDescent="0.25">
      <c r="A3" t="s">
        <v>8</v>
      </c>
      <c r="B3" t="s">
        <v>9</v>
      </c>
      <c r="C3" t="s">
        <v>10</v>
      </c>
      <c r="D3">
        <v>2500</v>
      </c>
      <c r="E3">
        <v>450</v>
      </c>
    </row>
    <row r="4" spans="1:5" x14ac:dyDescent="0.25">
      <c r="A4" t="s">
        <v>11</v>
      </c>
      <c r="B4" t="s">
        <v>12</v>
      </c>
      <c r="C4" t="s">
        <v>13</v>
      </c>
      <c r="D4">
        <v>850</v>
      </c>
      <c r="E4">
        <v>120</v>
      </c>
    </row>
    <row r="5" spans="1:5" x14ac:dyDescent="0.25">
      <c r="A5" t="s">
        <v>14</v>
      </c>
      <c r="B5" t="s">
        <v>6</v>
      </c>
      <c r="C5" t="s">
        <v>15</v>
      </c>
      <c r="D5">
        <v>3200</v>
      </c>
      <c r="E5">
        <v>-150</v>
      </c>
    </row>
    <row r="6" spans="1:5" x14ac:dyDescent="0.25">
      <c r="A6" t="s">
        <v>16</v>
      </c>
      <c r="B6" t="s">
        <v>9</v>
      </c>
      <c r="C6" t="s">
        <v>17</v>
      </c>
      <c r="D6">
        <v>650</v>
      </c>
      <c r="E6">
        <v>200</v>
      </c>
    </row>
    <row r="7" spans="1:5" x14ac:dyDescent="0.25">
      <c r="A7" t="s">
        <v>18</v>
      </c>
      <c r="B7" t="s">
        <v>12</v>
      </c>
      <c r="C7" t="s">
        <v>19</v>
      </c>
      <c r="D7">
        <v>450</v>
      </c>
      <c r="E7">
        <v>90</v>
      </c>
    </row>
    <row r="8" spans="1:5" x14ac:dyDescent="0.25">
      <c r="A8" t="s">
        <v>20</v>
      </c>
      <c r="B8" t="s">
        <v>6</v>
      </c>
      <c r="C8" t="s">
        <v>21</v>
      </c>
      <c r="D8">
        <v>1800</v>
      </c>
      <c r="E8">
        <v>250</v>
      </c>
    </row>
    <row r="9" spans="1:5" x14ac:dyDescent="0.25">
      <c r="A9" t="s">
        <v>22</v>
      </c>
      <c r="B9" t="s">
        <v>9</v>
      </c>
      <c r="C9" t="s">
        <v>23</v>
      </c>
      <c r="D9">
        <v>4200</v>
      </c>
      <c r="E9">
        <v>600</v>
      </c>
    </row>
    <row r="10" spans="1:5" x14ac:dyDescent="0.25">
      <c r="A10" t="s">
        <v>24</v>
      </c>
      <c r="B10" t="s">
        <v>12</v>
      </c>
      <c r="C10" t="s">
        <v>25</v>
      </c>
      <c r="D10">
        <v>1100</v>
      </c>
      <c r="E10">
        <v>175</v>
      </c>
    </row>
    <row r="11" spans="1:5" x14ac:dyDescent="0.25">
      <c r="A11" t="s">
        <v>26</v>
      </c>
      <c r="B11" t="s">
        <v>6</v>
      </c>
      <c r="C11" t="s">
        <v>7</v>
      </c>
      <c r="D11">
        <v>2400</v>
      </c>
      <c r="E11">
        <v>350</v>
      </c>
    </row>
    <row r="12" spans="1:5" x14ac:dyDescent="0.25">
      <c r="A12" t="s">
        <v>27</v>
      </c>
      <c r="B12" t="s">
        <v>9</v>
      </c>
      <c r="C12" t="s">
        <v>10</v>
      </c>
      <c r="D12">
        <v>3600</v>
      </c>
      <c r="E12">
        <v>720</v>
      </c>
    </row>
    <row r="13" spans="1:5" x14ac:dyDescent="0.25">
      <c r="A13" t="s">
        <v>28</v>
      </c>
      <c r="B13" t="s">
        <v>12</v>
      </c>
      <c r="C13" t="s">
        <v>13</v>
      </c>
      <c r="D13">
        <v>700</v>
      </c>
      <c r="E13">
        <v>-50</v>
      </c>
    </row>
    <row r="14" spans="1:5" x14ac:dyDescent="0.25">
      <c r="A14" t="s">
        <v>29</v>
      </c>
      <c r="B14" t="s">
        <v>6</v>
      </c>
      <c r="C14" t="s">
        <v>15</v>
      </c>
      <c r="D14">
        <v>2800</v>
      </c>
      <c r="E14">
        <v>420</v>
      </c>
    </row>
    <row r="15" spans="1:5" x14ac:dyDescent="0.25">
      <c r="A15" t="s">
        <v>30</v>
      </c>
      <c r="B15" t="s">
        <v>9</v>
      </c>
      <c r="C15" t="s">
        <v>17</v>
      </c>
      <c r="D15">
        <v>950</v>
      </c>
      <c r="E15">
        <v>190</v>
      </c>
    </row>
    <row r="16" spans="1:5" x14ac:dyDescent="0.25">
      <c r="A16" t="s">
        <v>31</v>
      </c>
      <c r="B16" t="s">
        <v>12</v>
      </c>
      <c r="C16" t="s">
        <v>19</v>
      </c>
      <c r="D16">
        <v>550</v>
      </c>
      <c r="E16">
        <v>110</v>
      </c>
    </row>
    <row r="17" spans="1:5" x14ac:dyDescent="0.25">
      <c r="A17" t="s">
        <v>32</v>
      </c>
      <c r="B17" t="s">
        <v>6</v>
      </c>
      <c r="C17" t="s">
        <v>21</v>
      </c>
      <c r="D17">
        <v>2100</v>
      </c>
      <c r="E17">
        <v>300</v>
      </c>
    </row>
    <row r="18" spans="1:5" x14ac:dyDescent="0.25">
      <c r="A18" t="s">
        <v>33</v>
      </c>
      <c r="B18" t="s">
        <v>9</v>
      </c>
      <c r="C18" t="s">
        <v>23</v>
      </c>
      <c r="D18">
        <v>3800</v>
      </c>
      <c r="E18">
        <v>-200</v>
      </c>
    </row>
    <row r="19" spans="1:5" x14ac:dyDescent="0.25">
      <c r="A19" t="s">
        <v>34</v>
      </c>
      <c r="B19" t="s">
        <v>12</v>
      </c>
      <c r="C19" t="s">
        <v>25</v>
      </c>
      <c r="D19">
        <v>1300</v>
      </c>
      <c r="E19">
        <v>240</v>
      </c>
    </row>
    <row r="20" spans="1:5" x14ac:dyDescent="0.25">
      <c r="A20" t="s">
        <v>35</v>
      </c>
      <c r="B20" t="s">
        <v>6</v>
      </c>
      <c r="C20" t="s">
        <v>7</v>
      </c>
      <c r="D20">
        <v>1600</v>
      </c>
      <c r="E20">
        <v>280</v>
      </c>
    </row>
    <row r="21" spans="1:5" x14ac:dyDescent="0.25">
      <c r="A21" t="s">
        <v>36</v>
      </c>
      <c r="B21" t="s">
        <v>9</v>
      </c>
      <c r="C21" t="s">
        <v>10</v>
      </c>
      <c r="D21">
        <v>2900</v>
      </c>
      <c r="E21">
        <v>580</v>
      </c>
    </row>
    <row r="22" spans="1:5" x14ac:dyDescent="0.25">
      <c r="A22" t="s">
        <v>37</v>
      </c>
      <c r="B22" t="s">
        <v>12</v>
      </c>
      <c r="C22" t="s">
        <v>13</v>
      </c>
      <c r="D22">
        <v>900</v>
      </c>
      <c r="E22">
        <v>150</v>
      </c>
    </row>
    <row r="23" spans="1:5" x14ac:dyDescent="0.25">
      <c r="A23" t="s">
        <v>38</v>
      </c>
      <c r="B23" t="s">
        <v>6</v>
      </c>
      <c r="C23" t="s">
        <v>15</v>
      </c>
      <c r="D23">
        <v>4500</v>
      </c>
      <c r="E23">
        <v>650</v>
      </c>
    </row>
    <row r="24" spans="1:5" x14ac:dyDescent="0.25">
      <c r="A24" t="s">
        <v>39</v>
      </c>
      <c r="B24" t="s">
        <v>9</v>
      </c>
      <c r="C24" t="s">
        <v>17</v>
      </c>
      <c r="D24">
        <v>750</v>
      </c>
      <c r="E24">
        <v>125</v>
      </c>
    </row>
    <row r="25" spans="1:5" x14ac:dyDescent="0.25">
      <c r="A25" t="s">
        <v>40</v>
      </c>
      <c r="B25" t="s">
        <v>12</v>
      </c>
      <c r="C25" t="s">
        <v>19</v>
      </c>
      <c r="D25">
        <v>600</v>
      </c>
      <c r="E25">
        <v>100</v>
      </c>
    </row>
    <row r="26" spans="1:5" x14ac:dyDescent="0.25">
      <c r="A26" t="s">
        <v>41</v>
      </c>
      <c r="B26" t="s">
        <v>6</v>
      </c>
      <c r="C26" t="s">
        <v>21</v>
      </c>
      <c r="D26">
        <v>2700</v>
      </c>
      <c r="E26">
        <v>390</v>
      </c>
    </row>
    <row r="27" spans="1:5" x14ac:dyDescent="0.25">
      <c r="A27" t="s">
        <v>42</v>
      </c>
      <c r="B27" t="s">
        <v>9</v>
      </c>
      <c r="C27" t="s">
        <v>23</v>
      </c>
      <c r="D27">
        <v>4900</v>
      </c>
      <c r="E27">
        <v>850</v>
      </c>
    </row>
    <row r="28" spans="1:5" x14ac:dyDescent="0.25">
      <c r="A28" t="s">
        <v>43</v>
      </c>
      <c r="B28" t="s">
        <v>12</v>
      </c>
      <c r="C28" t="s">
        <v>25</v>
      </c>
      <c r="D28">
        <v>1450</v>
      </c>
      <c r="E28">
        <v>260</v>
      </c>
    </row>
    <row r="29" spans="1:5" x14ac:dyDescent="0.25">
      <c r="A29" t="s">
        <v>44</v>
      </c>
      <c r="B29" t="s">
        <v>6</v>
      </c>
      <c r="C29" t="s">
        <v>7</v>
      </c>
      <c r="D29">
        <v>1900</v>
      </c>
      <c r="E29">
        <v>310</v>
      </c>
    </row>
    <row r="30" spans="1:5" x14ac:dyDescent="0.25">
      <c r="A30" t="s">
        <v>45</v>
      </c>
      <c r="B30" t="s">
        <v>9</v>
      </c>
      <c r="C30" t="s">
        <v>10</v>
      </c>
      <c r="D30">
        <v>3100</v>
      </c>
      <c r="E30">
        <v>620</v>
      </c>
    </row>
    <row r="31" spans="1:5" x14ac:dyDescent="0.25">
      <c r="A31" t="s">
        <v>46</v>
      </c>
      <c r="B31" t="s">
        <v>12</v>
      </c>
      <c r="C31" t="s">
        <v>13</v>
      </c>
      <c r="D31">
        <v>800</v>
      </c>
      <c r="E31">
        <v>140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1376B-807A-4872-8447-AA04E856AC6C}">
  <dimension ref="A1:D6"/>
  <sheetViews>
    <sheetView workbookViewId="0">
      <selection activeCell="F10" sqref="F10"/>
    </sheetView>
  </sheetViews>
  <sheetFormatPr defaultRowHeight="15" x14ac:dyDescent="0.25"/>
  <cols>
    <col min="1" max="1" width="14.5703125" bestFit="1" customWidth="1"/>
    <col min="2" max="2" width="11.42578125" bestFit="1" customWidth="1"/>
    <col min="3" max="3" width="12.140625" bestFit="1" customWidth="1"/>
    <col min="4" max="4" width="15.28515625" bestFit="1" customWidth="1"/>
  </cols>
  <sheetData>
    <row r="1" spans="1:4" ht="23.25" x14ac:dyDescent="0.35">
      <c r="B1" s="1" t="s">
        <v>50</v>
      </c>
      <c r="C1" s="1"/>
    </row>
    <row r="3" spans="1:4" ht="15.75" x14ac:dyDescent="0.25">
      <c r="A3" s="2" t="s">
        <v>1</v>
      </c>
      <c r="B3" s="2" t="s">
        <v>47</v>
      </c>
      <c r="C3" s="2" t="s">
        <v>48</v>
      </c>
      <c r="D3" s="2" t="s">
        <v>49</v>
      </c>
    </row>
    <row r="4" spans="1:4" x14ac:dyDescent="0.25">
      <c r="A4" s="3" t="s">
        <v>6</v>
      </c>
      <c r="B4" s="4">
        <f>SUMIF('Raw Data'!B:B,A4,'Raw Data'!D:D)</f>
        <v>24200</v>
      </c>
      <c r="C4" s="4">
        <f>SUMIF('Raw Data'!B:B,A4,'Raw Data'!E:E)</f>
        <v>2980</v>
      </c>
      <c r="D4" s="4">
        <f>AVERAGEIF('Raw Data'!B:B,A4,'Raw Data'!E:E)</f>
        <v>298</v>
      </c>
    </row>
    <row r="5" spans="1:4" x14ac:dyDescent="0.25">
      <c r="A5" s="3" t="s">
        <v>12</v>
      </c>
      <c r="B5" s="4">
        <f>SUMIF('Raw Data'!B:B,A5,'Raw Data'!D:D)</f>
        <v>8700</v>
      </c>
      <c r="C5" s="4">
        <f>SUMIF('Raw Data'!B:B,A5,'Raw Data'!E:E)</f>
        <v>1335</v>
      </c>
      <c r="D5" s="4">
        <f>AVERAGEIF('Raw Data'!B:B,A5,'Raw Data'!E:E)</f>
        <v>133.5</v>
      </c>
    </row>
    <row r="6" spans="1:4" x14ac:dyDescent="0.25">
      <c r="A6" s="3" t="s">
        <v>9</v>
      </c>
      <c r="B6" s="4">
        <f>SUMIF('Raw Data'!B:B,A6,'Raw Data'!D:D)</f>
        <v>27350</v>
      </c>
      <c r="C6" s="4">
        <f>SUMIF('Raw Data'!B:B,A6,'Raw Data'!E:E)</f>
        <v>4135</v>
      </c>
      <c r="D6" s="4">
        <f>AVERAGEIF('Raw Data'!B:B,A6,'Raw Data'!E:E)</f>
        <v>413.5</v>
      </c>
    </row>
  </sheetData>
  <mergeCells count="1">
    <mergeCell ref="B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Profit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 .</dc:creator>
  <cp:lastModifiedBy>Bhagya .</cp:lastModifiedBy>
  <dcterms:created xsi:type="dcterms:W3CDTF">2026-09-23T15:35:35Z</dcterms:created>
  <dcterms:modified xsi:type="dcterms:W3CDTF">2026-09-23T15:51:37Z</dcterms:modified>
</cp:coreProperties>
</file>